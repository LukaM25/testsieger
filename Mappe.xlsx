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showInkAnnotation="0"/>
  <mc:AlternateContent xmlns:mc="http://schemas.openxmlformats.org/markup-compatibility/2006">
    <mc:Choice Requires="x15">
      <x15ac:absPath xmlns:x15ac="http://schemas.microsoft.com/office/spreadsheetml/2010/11/ac" url="/Users/lukamatanic/Downloads/"/>
    </mc:Choice>
  </mc:AlternateContent>
  <xr:revisionPtr revIDLastSave="0" documentId="13_ncr:1_{6886A732-CC98-4D41-89A8-85E3712FA168}" xr6:coauthVersionLast="47" xr6:coauthVersionMax="47" xr10:uidLastSave="{00000000-0000-0000-0000-000000000000}"/>
  <bookViews>
    <workbookView xWindow="0" yWindow="800" windowWidth="34200" windowHeight="20100" xr2:uid="{00000000-000D-0000-FFFF-FFFF00000000}"/>
  </bookViews>
  <sheets>
    <sheet name="Tabelle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24" i="1"/>
  <c r="B43" i="1"/>
  <c r="B63" i="1"/>
  <c r="C71" i="1"/>
  <c r="D71" i="1" s="1"/>
  <c r="E71" i="1" s="1"/>
  <c r="C70" i="1"/>
  <c r="D70" i="1" s="1"/>
  <c r="E70" i="1" s="1"/>
  <c r="C69" i="1"/>
  <c r="D69" i="1"/>
  <c r="E69" i="1"/>
  <c r="C68" i="1"/>
  <c r="D68" i="1"/>
  <c r="E68" i="1"/>
  <c r="C73" i="1" l="1"/>
  <c r="D73" i="1" s="1"/>
  <c r="E73" i="1" s="1"/>
</calcChain>
</file>

<file path=xl/sharedStrings.xml><?xml version="1.0" encoding="utf-8"?>
<sst xmlns="http://schemas.openxmlformats.org/spreadsheetml/2006/main" count="114" uniqueCount="100">
  <si>
    <t> </t>
  </si>
  <si>
    <t>Bewertung (1–10)</t>
  </si>
  <si>
    <t>Bemerkung</t>
  </si>
  <si>
    <t>Stabilität der Verpackung (Stöße)</t>
  </si>
  <si>
    <t>Stabilität der Verpackung (Stürze)</t>
  </si>
  <si>
    <t>Stabilität der Verpackung (Druck)</t>
  </si>
  <si>
    <t>Materialstabilität</t>
  </si>
  <si>
    <t>Schutz vor Kratzern &amp; Beschädigungen</t>
  </si>
  <si>
    <t>Schutzwirkung der Verpackung</t>
  </si>
  <si>
    <t>Zusätzliche Schutzmaßnahmen</t>
  </si>
  <si>
    <t>Sicherer Verschluss: Notwendigkeit</t>
  </si>
  <si>
    <t>Sicherer Verschluss: Effektivität</t>
  </si>
  <si>
    <t>Sicherer Verschluss: Benutzerfreundlichkeit</t>
  </si>
  <si>
    <t>Schutz gegen Feuchtigkeit</t>
  </si>
  <si>
    <t>Effektiver Schutz durch Verpackung</t>
  </si>
  <si>
    <t>Verpackungsgröße &amp; Materialverbrauch</t>
  </si>
  <si>
    <t>Recycelbare/kompostierbare Materialien</t>
  </si>
  <si>
    <t>Nicht-recycelbare Materialien</t>
  </si>
  <si>
    <t>Vollständigkeit Packungsinhalt</t>
  </si>
  <si>
    <t>Essentielles Zubehör vorhanden</t>
  </si>
  <si>
    <t>Zusatznutzen Extras</t>
  </si>
  <si>
    <t>Gebrauchsanweisung: Verfügbarkeit</t>
  </si>
  <si>
    <t>Gebrauchsanweisung: Notwendigkeit</t>
  </si>
  <si>
    <t>Gebrauchsanweisung: Mehrsprachigkeit</t>
  </si>
  <si>
    <t>Gebrauchsanweisung: Verständlichkeit</t>
  </si>
  <si>
    <t>=</t>
  </si>
  <si>
    <t xml:space="preserve">Ergebnis:  </t>
  </si>
  <si>
    <r>
      <t xml:space="preserve">Kriterium B Verarbeitung und Erscheinungsbild </t>
    </r>
    <r>
      <rPr>
        <b/>
        <i/>
        <u/>
        <sz val="14"/>
        <color theme="1"/>
        <rFont val="Times New Roman"/>
        <family val="34"/>
      </rPr>
      <t>(Gewichtung x2)</t>
    </r>
  </si>
  <si>
    <t>Unterkategorie</t>
  </si>
  <si>
    <t>Bewertung (1-10)</t>
  </si>
  <si>
    <t>Gesamtoptik</t>
  </si>
  <si>
    <t>Konsistenz mit Produktfotos</t>
  </si>
  <si>
    <t>Farbwirkung</t>
  </si>
  <si>
    <t>Passgenauigkeit</t>
  </si>
  <si>
    <t>Robustheit</t>
  </si>
  <si>
    <t>Materialqualität</t>
  </si>
  <si>
    <t>Belastbarkeit</t>
  </si>
  <si>
    <t>Nutzungssicherheit</t>
  </si>
  <si>
    <t>Einsatzangemessenheit</t>
  </si>
  <si>
    <t>Umweltfreundliche Materialien</t>
  </si>
  <si>
    <t>Energieeffizienz</t>
  </si>
  <si>
    <t>Recyclingfähigkeit</t>
  </si>
  <si>
    <t>Ethische Standards</t>
  </si>
  <si>
    <t>Sonstiges (optional)</t>
  </si>
  <si>
    <r>
      <t xml:space="preserve">Kriterium C Praxistest – Werbeversprechen </t>
    </r>
    <r>
      <rPr>
        <b/>
        <i/>
        <u/>
        <sz val="14"/>
        <color theme="1"/>
        <rFont val="Aptos"/>
        <family val="18"/>
      </rPr>
      <t>(Gewichtung x2)</t>
    </r>
  </si>
  <si>
    <t>Übereinstimmung Werbung vs. Realität</t>
  </si>
  <si>
    <t>Funktionalität &amp; Bedienkomfort</t>
  </si>
  <si>
    <t>Reaktion auf Nutzungsszenarien</t>
  </si>
  <si>
    <t>Einzigartige Produktmerkmale</t>
  </si>
  <si>
    <t xml:space="preserve">Ergebnis </t>
  </si>
  <si>
    <t>Ergebnis</t>
  </si>
  <si>
    <r>
      <t>Kriterium D</t>
    </r>
    <r>
      <rPr>
        <b/>
        <u/>
        <sz val="14"/>
        <color rgb="FF000000"/>
        <rFont val="Aptos"/>
        <family val="18"/>
      </rPr>
      <t xml:space="preserve"> </t>
    </r>
    <r>
      <rPr>
        <b/>
        <u/>
        <sz val="14"/>
        <color rgb="FF000000"/>
        <rFont val="Times New Roman"/>
        <family val="34"/>
      </rPr>
      <t>Preis-/Leistungsverhältnis &amp; Verbraucherbewertungen (Gewichtung 1x)</t>
    </r>
  </si>
  <si>
    <t>Preis/Leistung</t>
  </si>
  <si>
    <t>Marktvergleich</t>
  </si>
  <si>
    <t>Wahrgenommener Nutzen</t>
  </si>
  <si>
    <t>Durchschnittliche Kundenbewertungen</t>
  </si>
  <si>
    <t>Anzahl &amp; Verteilung der Bewertungen</t>
  </si>
  <si>
    <t>Gesamtauswertung</t>
  </si>
  <si>
    <t>Kriterium</t>
  </si>
  <si>
    <t>Gew</t>
  </si>
  <si>
    <t>Durchschnittspunktzahl (1–10)</t>
  </si>
  <si>
    <t>Note (1,0–5,0)</t>
  </si>
  <si>
    <t>A: Produktschutz</t>
  </si>
  <si>
    <t>1x</t>
  </si>
  <si>
    <t>B: Verarbeitung &amp; Erscheinungsbild</t>
  </si>
  <si>
    <t>2x</t>
  </si>
  <si>
    <t>C: Praxistest</t>
  </si>
  <si>
    <t>D: Preis/Leistungsverhältnis &amp; Verbraucherbewertungen</t>
  </si>
  <si>
    <t>Gesamt</t>
  </si>
  <si>
    <t>6x</t>
  </si>
  <si>
    <t>[(A1 + B2 + C2 + D1) ÷ 6]</t>
  </si>
  <si>
    <t xml:space="preserve">Notenschlüssel </t>
  </si>
  <si>
    <t>Punktebereich</t>
  </si>
  <si>
    <t>Note (deutsch, 1–5)</t>
  </si>
  <si>
    <t>Bewertungskategorie</t>
  </si>
  <si>
    <t>9,0 – 10,0</t>
  </si>
  <si>
    <t>1,0 – 1,5</t>
  </si>
  <si>
    <t>Hervorragend</t>
  </si>
  <si>
    <t>8,0 – 8,9</t>
  </si>
  <si>
    <t>1,6 – 2,0</t>
  </si>
  <si>
    <t>Sehr gut</t>
  </si>
  <si>
    <t>7,0 – 7,9</t>
  </si>
  <si>
    <t>2,1 – 2,5</t>
  </si>
  <si>
    <t>Gut</t>
  </si>
  <si>
    <t>6,0 – 6,9</t>
  </si>
  <si>
    <t>2,6 – 3,0</t>
  </si>
  <si>
    <t>Befriedigend</t>
  </si>
  <si>
    <t>5,0 – 5,9</t>
  </si>
  <si>
    <t>3,1 – 3,5</t>
  </si>
  <si>
    <t>Ausreichend</t>
  </si>
  <si>
    <t>4,0 – 4,9</t>
  </si>
  <si>
    <t>3,6 – 4,0</t>
  </si>
  <si>
    <t>Mangelhaft</t>
  </si>
  <si>
    <t>3,0 – 3,9</t>
  </si>
  <si>
    <t>4,1 – 4,5</t>
  </si>
  <si>
    <t>Schlecht</t>
  </si>
  <si>
    <t>0 – 2,9</t>
  </si>
  <si>
    <t>4,6 – 5,0</t>
  </si>
  <si>
    <t>Sehr schlecht</t>
  </si>
  <si>
    <t>Kriterium A Produktschutz (Gewichtung 1x)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</si>
</sst>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34"/>
    </font>
    <font>
      <b/>
      <sz val="12"/>
      <color rgb="FF000000"/>
      <name val="Times New Roman"/>
      <family val="34"/>
    </font>
    <font>
      <sz val="12"/>
      <color theme="1"/>
      <name val="Aptos"/>
      <family val="18"/>
    </font>
    <font>
      <b/>
      <sz val="12"/>
      <color theme="1"/>
      <name val="Times New Roman"/>
      <family val="34"/>
    </font>
    <font>
      <b/>
      <sz val="10"/>
      <color rgb="FF000000"/>
      <name val="Times New Roman"/>
      <family val="34"/>
    </font>
    <font>
      <b/>
      <sz val="10"/>
      <color theme="1"/>
      <name val="Times New Roman"/>
      <family val="34"/>
    </font>
    <font>
      <b/>
      <i/>
      <u/>
      <sz val="14"/>
      <color theme="1"/>
      <name val="Times New Roman"/>
      <family val="34"/>
    </font>
    <font>
      <b/>
      <u/>
      <sz val="14"/>
      <color theme="1"/>
      <name val="Times New Roman"/>
      <family val="34"/>
    </font>
    <font>
      <sz val="10"/>
      <color rgb="FF000000"/>
      <name val="Times New Roman"/>
      <family val="34"/>
    </font>
    <font>
      <sz val="10"/>
      <color theme="1"/>
      <name val="Times New Roman"/>
      <family val="34"/>
    </font>
    <font>
      <b/>
      <i/>
      <u/>
      <sz val="14"/>
      <color theme="1"/>
      <name val="Aptos"/>
      <family val="18"/>
    </font>
    <font>
      <b/>
      <u/>
      <sz val="14"/>
      <color theme="1"/>
      <name val="Aptos"/>
      <family val="18"/>
    </font>
    <font>
      <sz val="12"/>
      <color rgb="FF0F4761"/>
      <name val="Aptos"/>
      <family val="18"/>
    </font>
    <font>
      <b/>
      <u/>
      <sz val="14"/>
      <color rgb="FF000000"/>
      <name val="Aptos"/>
      <family val="18"/>
    </font>
    <font>
      <b/>
      <u/>
      <sz val="14"/>
      <color rgb="FF000000"/>
      <name val="Times New Roman"/>
      <family val="34"/>
    </font>
    <font>
      <sz val="12"/>
      <color rgb="FF000000"/>
      <name val="Times New Roman"/>
      <family val="34"/>
    </font>
    <font>
      <b/>
      <sz val="23"/>
      <color rgb="FF000000"/>
      <name val="Times New Roman"/>
      <family val="34"/>
    </font>
    <font>
      <u/>
      <sz val="12"/>
      <color theme="1"/>
      <name val="Aptos"/>
      <family val="18"/>
    </font>
    <font>
      <b/>
      <sz val="19"/>
      <color theme="9"/>
      <name val="Times New Roman"/>
      <family val="34"/>
    </font>
    <font>
      <b/>
      <sz val="18"/>
      <color theme="6"/>
      <name val="Times New Roman"/>
      <family val="3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C1F0C7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45B0E1"/>
      </top>
      <bottom style="thick">
        <color rgb="FF45B0E1"/>
      </bottom>
      <diagonal/>
    </border>
    <border>
      <left/>
      <right/>
      <top style="thin">
        <color rgb="FF45B0E1"/>
      </top>
      <bottom style="thick">
        <color rgb="FF45B0E1"/>
      </bottom>
      <diagonal/>
    </border>
    <border>
      <left/>
      <right style="thin">
        <color rgb="FF000000"/>
      </right>
      <top style="thin">
        <color rgb="FF45B0E1"/>
      </top>
      <bottom style="thick">
        <color rgb="FF45B0E1"/>
      </bottom>
      <diagonal/>
    </border>
    <border>
      <left style="thin">
        <color rgb="FF000000"/>
      </left>
      <right style="thin">
        <color rgb="FF45B0E1"/>
      </right>
      <top style="thin">
        <color rgb="FF45B0E1"/>
      </top>
      <bottom style="thin">
        <color rgb="FF45B0E1"/>
      </bottom>
      <diagonal/>
    </border>
    <border>
      <left style="thin">
        <color rgb="FF45B0E1"/>
      </left>
      <right style="thin">
        <color rgb="FF45B0E1"/>
      </right>
      <top style="thin">
        <color rgb="FF45B0E1"/>
      </top>
      <bottom style="thin">
        <color rgb="FF45B0E1"/>
      </bottom>
      <diagonal/>
    </border>
    <border>
      <left style="thin">
        <color rgb="FF45B0E1"/>
      </left>
      <right style="thin">
        <color rgb="FF000000"/>
      </right>
      <top style="thin">
        <color rgb="FF45B0E1"/>
      </top>
      <bottom style="thin">
        <color rgb="FF45B0E1"/>
      </bottom>
      <diagonal/>
    </border>
    <border>
      <left style="thin">
        <color rgb="FF000000"/>
      </left>
      <right/>
      <top style="double">
        <color rgb="FF45B0E1"/>
      </top>
      <bottom style="thin">
        <color rgb="FF45B0E1"/>
      </bottom>
      <diagonal/>
    </border>
    <border>
      <left/>
      <right/>
      <top style="double">
        <color rgb="FF45B0E1"/>
      </top>
      <bottom style="thin">
        <color rgb="FF45B0E1"/>
      </bottom>
      <diagonal/>
    </border>
    <border>
      <left/>
      <right style="thin">
        <color rgb="FF000000"/>
      </right>
      <top style="double">
        <color rgb="FF45B0E1"/>
      </top>
      <bottom style="thin">
        <color rgb="FF45B0E1"/>
      </bottom>
      <diagonal/>
    </border>
    <border>
      <left style="thin">
        <color rgb="FF45B0E1"/>
      </left>
      <right style="thin">
        <color rgb="FF45B0E1"/>
      </right>
      <top style="thin">
        <color rgb="FF45B0E1"/>
      </top>
      <bottom style="thick">
        <color rgb="FF45B0E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2" fillId="4" borderId="7" xfId="0" applyFont="1" applyFill="1" applyBorder="1" applyAlignment="1">
      <alignment wrapText="1"/>
    </xf>
    <xf numFmtId="0" fontId="6" fillId="4" borderId="9" xfId="0" applyFont="1" applyFill="1" applyBorder="1" applyAlignment="1">
      <alignment wrapText="1"/>
    </xf>
    <xf numFmtId="0" fontId="8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10" fillId="4" borderId="6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5" fillId="4" borderId="8" xfId="0" quotePrefix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9" fillId="4" borderId="5" xfId="0" quotePrefix="1" applyFont="1" applyFill="1" applyBorder="1" applyAlignment="1">
      <alignment horizontal="center" wrapText="1"/>
    </xf>
    <xf numFmtId="0" fontId="12" fillId="0" borderId="0" xfId="0" applyFont="1" applyAlignment="1">
      <alignment wrapText="1"/>
    </xf>
    <xf numFmtId="0" fontId="2" fillId="0" borderId="10" xfId="0" applyFont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5" fillId="0" borderId="0" xfId="0" applyFont="1" applyAlignment="1">
      <alignment wrapText="1"/>
    </xf>
    <xf numFmtId="0" fontId="16" fillId="4" borderId="5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17" fillId="4" borderId="5" xfId="0" quotePrefix="1" applyFont="1" applyFill="1" applyBorder="1" applyAlignment="1">
      <alignment wrapText="1"/>
    </xf>
    <xf numFmtId="0" fontId="2" fillId="0" borderId="10" xfId="0" applyFont="1" applyBorder="1" applyAlignment="1">
      <alignment horizontal="center" wrapText="1"/>
    </xf>
    <xf numFmtId="0" fontId="13" fillId="3" borderId="5" xfId="0" applyFont="1" applyFill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9" fillId="4" borderId="5" xfId="0" applyFont="1" applyFill="1" applyBorder="1" applyAlignment="1">
      <alignment horizontal="center" wrapText="1"/>
    </xf>
    <xf numFmtId="0" fontId="16" fillId="3" borderId="5" xfId="0" applyFont="1" applyFill="1" applyBorder="1" applyAlignment="1">
      <alignment horizontal="center" wrapText="1"/>
    </xf>
    <xf numFmtId="0" fontId="16" fillId="0" borderId="5" xfId="0" applyFont="1" applyBorder="1" applyAlignment="1">
      <alignment horizontal="center" wrapText="1"/>
    </xf>
    <xf numFmtId="0" fontId="16" fillId="4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8" fillId="3" borderId="5" xfId="0" applyFont="1" applyFill="1" applyBorder="1" applyAlignment="1">
      <alignment horizontal="center" wrapText="1"/>
    </xf>
    <xf numFmtId="0" fontId="19" fillId="5" borderId="5" xfId="0" applyFont="1" applyFill="1" applyBorder="1" applyAlignment="1">
      <alignment wrapText="1"/>
    </xf>
    <xf numFmtId="0" fontId="20" fillId="5" borderId="5" xfId="0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814F0-C454-F248-97C3-DE0BE7E56974}">
  <dimension ref="A1:E85"/>
  <sheetViews>
    <sheetView tabSelected="1" zoomScaleNormal="150" zoomScaleSheetLayoutView="100" workbookViewId="0">
      <selection activeCell="H27" sqref="H27"/>
    </sheetView>
  </sheetViews>
  <sheetFormatPr baseColWidth="10" defaultColWidth="8.83203125" defaultRowHeight="15" x14ac:dyDescent="0.2"/>
  <cols>
    <col min="1" max="1" width="38.6640625" customWidth="1"/>
    <col min="2" max="2" width="12.5" style="16" customWidth="1"/>
    <col min="3" max="3" width="49.33203125" customWidth="1"/>
    <col min="4" max="4" width="25.83203125" bestFit="1" customWidth="1"/>
    <col min="5" max="5" width="23.5" customWidth="1"/>
  </cols>
  <sheetData>
    <row r="1" spans="1:3" ht="39" thickBot="1" x14ac:dyDescent="0.25">
      <c r="A1" s="8" t="s">
        <v>99</v>
      </c>
      <c r="B1" s="12" t="s">
        <v>1</v>
      </c>
      <c r="C1" s="1" t="s">
        <v>2</v>
      </c>
    </row>
    <row r="2" spans="1:3" ht="18" thickTop="1" x14ac:dyDescent="0.2">
      <c r="A2" s="2" t="s">
        <v>3</v>
      </c>
      <c r="B2" s="13"/>
      <c r="C2" s="3"/>
    </row>
    <row r="3" spans="1:3" ht="17" x14ac:dyDescent="0.2">
      <c r="A3" s="4" t="s">
        <v>4</v>
      </c>
      <c r="B3" s="14"/>
      <c r="C3" s="5"/>
    </row>
    <row r="4" spans="1:3" ht="17" x14ac:dyDescent="0.2">
      <c r="A4" s="2" t="s">
        <v>5</v>
      </c>
      <c r="B4" s="13">
        <v>6</v>
      </c>
      <c r="C4" s="3"/>
    </row>
    <row r="5" spans="1:3" ht="17" x14ac:dyDescent="0.2">
      <c r="A5" s="4" t="s">
        <v>6</v>
      </c>
      <c r="B5" s="14"/>
      <c r="C5" s="5"/>
    </row>
    <row r="6" spans="1:3" ht="17" x14ac:dyDescent="0.2">
      <c r="A6" s="2" t="s">
        <v>7</v>
      </c>
      <c r="B6" s="13"/>
      <c r="C6" s="3"/>
    </row>
    <row r="7" spans="1:3" ht="17" x14ac:dyDescent="0.2">
      <c r="A7" s="4" t="s">
        <v>8</v>
      </c>
      <c r="B7" s="14"/>
      <c r="C7" s="5"/>
    </row>
    <row r="8" spans="1:3" ht="17" x14ac:dyDescent="0.2">
      <c r="A8" s="2" t="s">
        <v>9</v>
      </c>
      <c r="B8" s="13"/>
      <c r="C8" s="3"/>
    </row>
    <row r="9" spans="1:3" ht="17" x14ac:dyDescent="0.2">
      <c r="A9" s="4" t="s">
        <v>10</v>
      </c>
      <c r="B9" s="14"/>
      <c r="C9" s="5"/>
    </row>
    <row r="10" spans="1:3" ht="17" x14ac:dyDescent="0.2">
      <c r="A10" s="2" t="s">
        <v>11</v>
      </c>
      <c r="B10" s="13">
        <v>4</v>
      </c>
      <c r="C10" s="3"/>
    </row>
    <row r="11" spans="1:3" ht="34" x14ac:dyDescent="0.2">
      <c r="A11" s="4" t="s">
        <v>12</v>
      </c>
      <c r="B11" s="14"/>
      <c r="C11" s="5"/>
    </row>
    <row r="12" spans="1:3" ht="17" x14ac:dyDescent="0.2">
      <c r="A12" s="2" t="s">
        <v>13</v>
      </c>
      <c r="B12" s="39"/>
      <c r="C12" s="3"/>
    </row>
    <row r="13" spans="1:3" ht="17" x14ac:dyDescent="0.2">
      <c r="A13" s="4" t="s">
        <v>14</v>
      </c>
      <c r="B13" s="14">
        <v>5</v>
      </c>
      <c r="C13" s="5"/>
    </row>
    <row r="14" spans="1:3" ht="17" x14ac:dyDescent="0.2">
      <c r="A14" s="2" t="s">
        <v>15</v>
      </c>
      <c r="B14" s="13"/>
      <c r="C14" s="3"/>
    </row>
    <row r="15" spans="1:3" ht="17" x14ac:dyDescent="0.2">
      <c r="A15" s="4" t="s">
        <v>16</v>
      </c>
      <c r="B15" s="14"/>
      <c r="C15" s="5"/>
    </row>
    <row r="16" spans="1:3" ht="17" x14ac:dyDescent="0.2">
      <c r="A16" s="2" t="s">
        <v>17</v>
      </c>
      <c r="B16" s="13"/>
      <c r="C16" s="3"/>
    </row>
    <row r="17" spans="1:3" ht="17" x14ac:dyDescent="0.2">
      <c r="A17" s="4" t="s">
        <v>18</v>
      </c>
      <c r="B17" s="14">
        <v>8</v>
      </c>
      <c r="C17" s="5"/>
    </row>
    <row r="18" spans="1:3" ht="17" x14ac:dyDescent="0.2">
      <c r="A18" s="2" t="s">
        <v>19</v>
      </c>
      <c r="B18" s="13"/>
      <c r="C18" s="3"/>
    </row>
    <row r="19" spans="1:3" ht="17" x14ac:dyDescent="0.2">
      <c r="A19" s="4" t="s">
        <v>20</v>
      </c>
      <c r="B19" s="14"/>
      <c r="C19" s="5"/>
    </row>
    <row r="20" spans="1:3" ht="17" x14ac:dyDescent="0.2">
      <c r="A20" s="2" t="s">
        <v>21</v>
      </c>
      <c r="B20" s="13"/>
      <c r="C20" s="3"/>
    </row>
    <row r="21" spans="1:3" ht="17" x14ac:dyDescent="0.2">
      <c r="A21" s="4" t="s">
        <v>22</v>
      </c>
      <c r="B21" s="14"/>
      <c r="C21" s="5"/>
    </row>
    <row r="22" spans="1:3" ht="17" x14ac:dyDescent="0.2">
      <c r="A22" s="2" t="s">
        <v>23</v>
      </c>
      <c r="B22" s="13"/>
      <c r="C22" s="3"/>
    </row>
    <row r="23" spans="1:3" ht="18" thickBot="1" x14ac:dyDescent="0.25">
      <c r="A23" s="4" t="s">
        <v>24</v>
      </c>
      <c r="B23" s="14"/>
      <c r="C23" s="5"/>
    </row>
    <row r="24" spans="1:3" ht="18" thickTop="1" x14ac:dyDescent="0.2">
      <c r="A24" s="6" t="s">
        <v>26</v>
      </c>
      <c r="B24" s="15">
        <f>D30+AVERAGE(B2:B23)</f>
        <v>5.75</v>
      </c>
      <c r="C24" s="7" t="s">
        <v>0</v>
      </c>
    </row>
    <row r="27" spans="1:3" ht="38" x14ac:dyDescent="0.2">
      <c r="A27" s="8" t="s">
        <v>27</v>
      </c>
    </row>
    <row r="28" spans="1:3" ht="35" thickBot="1" x14ac:dyDescent="0.25">
      <c r="A28" s="9" t="s">
        <v>28</v>
      </c>
      <c r="B28" s="12" t="s">
        <v>29</v>
      </c>
      <c r="C28" s="1" t="s">
        <v>2</v>
      </c>
    </row>
    <row r="29" spans="1:3" ht="18" thickTop="1" x14ac:dyDescent="0.2">
      <c r="A29" s="2" t="s">
        <v>30</v>
      </c>
      <c r="B29" s="13"/>
      <c r="C29" s="3"/>
    </row>
    <row r="30" spans="1:3" ht="17" x14ac:dyDescent="0.2">
      <c r="A30" s="4" t="s">
        <v>31</v>
      </c>
      <c r="B30" s="14"/>
      <c r="C30" s="5"/>
    </row>
    <row r="31" spans="1:3" ht="17" x14ac:dyDescent="0.2">
      <c r="A31" s="2" t="s">
        <v>32</v>
      </c>
      <c r="B31" s="13"/>
      <c r="C31" s="3"/>
    </row>
    <row r="32" spans="1:3" ht="17" x14ac:dyDescent="0.2">
      <c r="A32" s="4" t="s">
        <v>33</v>
      </c>
      <c r="B32" s="14"/>
      <c r="C32" s="5"/>
    </row>
    <row r="33" spans="1:3" ht="17" x14ac:dyDescent="0.2">
      <c r="A33" s="2" t="s">
        <v>34</v>
      </c>
      <c r="B33" s="13">
        <v>7</v>
      </c>
      <c r="C33" s="3"/>
    </row>
    <row r="34" spans="1:3" ht="17" x14ac:dyDescent="0.2">
      <c r="A34" s="4" t="s">
        <v>35</v>
      </c>
      <c r="B34" s="14"/>
      <c r="C34" s="5"/>
    </row>
    <row r="35" spans="1:3" ht="17" x14ac:dyDescent="0.2">
      <c r="A35" s="2" t="s">
        <v>36</v>
      </c>
      <c r="B35" s="13"/>
      <c r="C35" s="3"/>
    </row>
    <row r="36" spans="1:3" ht="17" x14ac:dyDescent="0.2">
      <c r="A36" s="4" t="s">
        <v>37</v>
      </c>
      <c r="B36" s="14"/>
      <c r="C36" s="5"/>
    </row>
    <row r="37" spans="1:3" ht="17" x14ac:dyDescent="0.2">
      <c r="A37" s="2" t="s">
        <v>38</v>
      </c>
      <c r="B37" s="13">
        <v>6</v>
      </c>
      <c r="C37" s="3"/>
    </row>
    <row r="38" spans="1:3" ht="17" x14ac:dyDescent="0.2">
      <c r="A38" s="4" t="s">
        <v>39</v>
      </c>
      <c r="B38" s="14"/>
      <c r="C38" s="5"/>
    </row>
    <row r="39" spans="1:3" ht="17" x14ac:dyDescent="0.2">
      <c r="A39" s="2" t="s">
        <v>40</v>
      </c>
      <c r="B39" s="13"/>
      <c r="C39" s="3"/>
    </row>
    <row r="40" spans="1:3" ht="17" x14ac:dyDescent="0.2">
      <c r="A40" s="4" t="s">
        <v>41</v>
      </c>
      <c r="B40" s="14"/>
      <c r="C40" s="5"/>
    </row>
    <row r="41" spans="1:3" ht="17" x14ac:dyDescent="0.2">
      <c r="A41" s="2" t="s">
        <v>42</v>
      </c>
      <c r="B41" s="13"/>
      <c r="C41" s="3"/>
    </row>
    <row r="42" spans="1:3" ht="17" x14ac:dyDescent="0.2">
      <c r="A42" s="4" t="s">
        <v>43</v>
      </c>
      <c r="B42" s="14"/>
      <c r="C42" s="5"/>
    </row>
    <row r="43" spans="1:3" ht="17" x14ac:dyDescent="0.2">
      <c r="A43" s="10" t="s">
        <v>50</v>
      </c>
      <c r="B43" s="17">
        <f>AVERAGE(B29:B42)</f>
        <v>6.5</v>
      </c>
      <c r="C43" s="11" t="s">
        <v>0</v>
      </c>
    </row>
    <row r="46" spans="1:3" ht="60" x14ac:dyDescent="0.25">
      <c r="A46" s="18" t="s">
        <v>44</v>
      </c>
    </row>
    <row r="47" spans="1:3" ht="35" thickBot="1" x14ac:dyDescent="0.25">
      <c r="A47" s="19" t="s">
        <v>28</v>
      </c>
      <c r="B47" s="30" t="s">
        <v>1</v>
      </c>
      <c r="C47" s="19" t="s">
        <v>2</v>
      </c>
    </row>
    <row r="48" spans="1:3" ht="18" thickTop="1" x14ac:dyDescent="0.2">
      <c r="A48" s="20" t="s">
        <v>45</v>
      </c>
      <c r="B48" s="31"/>
      <c r="C48" s="21"/>
    </row>
    <row r="49" spans="1:3" ht="17" x14ac:dyDescent="0.2">
      <c r="A49" s="22" t="s">
        <v>46</v>
      </c>
      <c r="B49" s="32"/>
      <c r="C49" s="23"/>
    </row>
    <row r="50" spans="1:3" ht="17" x14ac:dyDescent="0.2">
      <c r="A50" s="20" t="s">
        <v>47</v>
      </c>
      <c r="B50" s="31"/>
      <c r="C50" s="21"/>
    </row>
    <row r="51" spans="1:3" ht="17" x14ac:dyDescent="0.2">
      <c r="A51" s="22" t="s">
        <v>48</v>
      </c>
      <c r="B51" s="32"/>
      <c r="C51" s="23"/>
    </row>
    <row r="52" spans="1:3" ht="17" x14ac:dyDescent="0.2">
      <c r="A52" s="24" t="s">
        <v>49</v>
      </c>
      <c r="B52" s="33" t="e">
        <f>AVERAGE(B48:B51)</f>
        <v>#DIV/0!</v>
      </c>
      <c r="C52" s="25" t="s">
        <v>0</v>
      </c>
    </row>
    <row r="55" spans="1:3" ht="77" x14ac:dyDescent="0.2">
      <c r="A55" s="26" t="s">
        <v>51</v>
      </c>
    </row>
    <row r="56" spans="1:3" ht="35" thickBot="1" x14ac:dyDescent="0.25">
      <c r="A56" s="19" t="s">
        <v>28</v>
      </c>
      <c r="B56" s="30" t="s">
        <v>1</v>
      </c>
      <c r="C56" s="19" t="s">
        <v>2</v>
      </c>
    </row>
    <row r="57" spans="1:3" ht="18" thickTop="1" x14ac:dyDescent="0.2">
      <c r="A57" s="20" t="s">
        <v>52</v>
      </c>
      <c r="B57" s="31"/>
      <c r="C57" s="21"/>
    </row>
    <row r="58" spans="1:3" ht="17" x14ac:dyDescent="0.2">
      <c r="A58" s="22" t="s">
        <v>53</v>
      </c>
      <c r="B58" s="32"/>
      <c r="C58" s="23"/>
    </row>
    <row r="59" spans="1:3" ht="17" x14ac:dyDescent="0.2">
      <c r="A59" s="20" t="s">
        <v>54</v>
      </c>
      <c r="B59" s="31"/>
      <c r="C59" s="21"/>
    </row>
    <row r="60" spans="1:3" ht="17" x14ac:dyDescent="0.2">
      <c r="A60" s="22" t="s">
        <v>55</v>
      </c>
      <c r="B60" s="32"/>
      <c r="C60" s="23"/>
    </row>
    <row r="61" spans="1:3" ht="17" x14ac:dyDescent="0.2">
      <c r="A61" s="20" t="s">
        <v>56</v>
      </c>
      <c r="B61" s="31"/>
      <c r="C61" s="21"/>
    </row>
    <row r="62" spans="1:3" ht="16" x14ac:dyDescent="0.2">
      <c r="A62" s="22"/>
      <c r="B62" s="32"/>
      <c r="C62" s="23"/>
    </row>
    <row r="63" spans="1:3" ht="17" x14ac:dyDescent="0.2">
      <c r="A63" s="24" t="s">
        <v>50</v>
      </c>
      <c r="B63" s="17" t="e">
        <f>AVERAGE(B57:B61)</f>
        <v>#DIV/0!</v>
      </c>
      <c r="C63" s="25" t="s">
        <v>0</v>
      </c>
    </row>
    <row r="65" spans="1:5" ht="20" x14ac:dyDescent="0.25">
      <c r="A65" s="18" t="s">
        <v>57</v>
      </c>
    </row>
    <row r="67" spans="1:5" ht="18" thickBot="1" x14ac:dyDescent="0.25">
      <c r="A67" s="19" t="s">
        <v>58</v>
      </c>
      <c r="B67" s="30" t="s">
        <v>59</v>
      </c>
      <c r="C67" s="19" t="s">
        <v>60</v>
      </c>
      <c r="D67" s="19" t="s">
        <v>61</v>
      </c>
      <c r="E67" s="19" t="s">
        <v>74</v>
      </c>
    </row>
    <row r="68" spans="1:5" ht="18" thickTop="1" x14ac:dyDescent="0.2">
      <c r="A68" s="20" t="s">
        <v>62</v>
      </c>
      <c r="B68" s="34" t="s">
        <v>63</v>
      </c>
      <c r="C68" s="21">
        <f>AVERAGE(B2:B23)</f>
        <v>5.75</v>
      </c>
      <c r="D68" s="21">
        <f>ROUND(6-(C68-1)*5/9,1)</f>
        <v>3.4</v>
      </c>
      <c r="E68" s="21" t="str">
        <f>IF(AND(D68&gt;=1,D68&lt;2),"Sehr gut",
IF(AND(D68&gt;=2,D68&lt;3),"Gut",
IF(AND(D68&gt;=3,D68&lt;4),"Befriedigend",
IF(AND(D68&gt;=4,D68&lt;5),"Ausreichend",
"Wiederholen"))))</f>
        <v>Befriedigend</v>
      </c>
    </row>
    <row r="69" spans="1:5" ht="17" x14ac:dyDescent="0.2">
      <c r="A69" s="22" t="s">
        <v>64</v>
      </c>
      <c r="B69" s="35" t="s">
        <v>65</v>
      </c>
      <c r="C69" s="23">
        <f>AVERAGE(B29:B42)</f>
        <v>6.5</v>
      </c>
      <c r="D69" s="23">
        <f>ROUND(6-(C69-1)*5/9,1)</f>
        <v>2.9</v>
      </c>
      <c r="E69" s="23" t="str">
        <f>IF(AND(D69&gt;=1,D69&lt;2),"Sehr gut",
IF(AND(D69&gt;=2,D69&lt;3),"Gut",
IF(AND(D69&gt;=3,D69&lt;4),"Befriedigend",
IF(AND(D69&gt;=4,D69&lt;5),"Ausreichend",
"Wiederholen"))))</f>
        <v>Gut</v>
      </c>
    </row>
    <row r="70" spans="1:5" ht="17" x14ac:dyDescent="0.2">
      <c r="A70" s="20" t="s">
        <v>66</v>
      </c>
      <c r="B70" s="34" t="s">
        <v>65</v>
      </c>
      <c r="C70" s="21" t="e">
        <f>AVERAGE(B57:B61)</f>
        <v>#DIV/0!</v>
      </c>
      <c r="D70" s="21" t="e">
        <f>ROUND(6-(C70-1)*5/9,1)</f>
        <v>#DIV/0!</v>
      </c>
      <c r="E70" s="21" t="e">
        <f>IF(AND(D70&gt;=1,D70&lt;2),"Sehr gut",
IF(AND(D70&gt;=2,D70&lt;3),"Gut",
IF(AND(D70&gt;=3,D70&lt;4),"Befriedigend",
IF(AND(D70&gt;=4,D70&lt;5),"Ausreichend",
"Wiederholen"))))</f>
        <v>#DIV/0!</v>
      </c>
    </row>
    <row r="71" spans="1:5" ht="34" x14ac:dyDescent="0.2">
      <c r="A71" s="22" t="s">
        <v>67</v>
      </c>
      <c r="B71" s="35" t="s">
        <v>63</v>
      </c>
      <c r="C71" s="23" t="e">
        <f>AVERAGE(B57:B61)</f>
        <v>#DIV/0!</v>
      </c>
      <c r="D71" s="23" t="e">
        <f>ROUND(6-(C71-1)*5/9,1)</f>
        <v>#DIV/0!</v>
      </c>
      <c r="E71" s="23" t="e">
        <f>IF(AND(D71&gt;=1,D71&lt;2),"Sehr gut",
IF(AND(D71&gt;=2,D71&lt;3),"Gut",
IF(AND(D71&gt;=3,D71&lt;4),"Befriedigend",
IF(AND(D71&gt;=4,D71&lt;5),"Ausreichend",
"Wiederholen"))))</f>
        <v>#DIV/0!</v>
      </c>
    </row>
    <row r="72" spans="1:5" ht="17" x14ac:dyDescent="0.2">
      <c r="A72" s="24" t="s">
        <v>68</v>
      </c>
      <c r="B72" s="36" t="s">
        <v>69</v>
      </c>
      <c r="C72" s="27" t="s">
        <v>70</v>
      </c>
      <c r="D72" s="27"/>
      <c r="E72" s="28"/>
    </row>
    <row r="73" spans="1:5" ht="30" x14ac:dyDescent="0.3">
      <c r="A73" s="29" t="s">
        <v>25</v>
      </c>
      <c r="B73" s="36"/>
      <c r="C73" s="27" t="e">
        <f>(B24+2*B43+2*B52+B63)/6</f>
        <v>#DIV/0!</v>
      </c>
      <c r="D73" s="40" t="e">
        <f>ROUND(6-(C73-1)*5/9,1)</f>
        <v>#DIV/0!</v>
      </c>
      <c r="E73" s="41" t="e">
        <f>IF(AND(D73&gt;=1,D73&lt;2),"Sehr gut",
IF(AND(D73&gt;=2,D73&lt;3),"Gut",
IF(AND(D73&gt;=3,D73&lt;4),"Befriedigend",
IF(AND(D73&gt;=4,D73&lt;5),"Ausreichend",
"Wiederholen"))))</f>
        <v>#DIV/0!</v>
      </c>
    </row>
    <row r="76" spans="1:5" x14ac:dyDescent="0.2">
      <c r="A76" t="s">
        <v>71</v>
      </c>
    </row>
    <row r="77" spans="1:5" ht="51" x14ac:dyDescent="0.2">
      <c r="A77" s="37" t="s">
        <v>72</v>
      </c>
      <c r="B77" s="37" t="s">
        <v>73</v>
      </c>
      <c r="C77" s="37" t="s">
        <v>74</v>
      </c>
    </row>
    <row r="78" spans="1:5" ht="17" x14ac:dyDescent="0.2">
      <c r="A78" s="38" t="s">
        <v>75</v>
      </c>
      <c r="B78" s="38" t="s">
        <v>76</v>
      </c>
      <c r="C78" s="38" t="s">
        <v>77</v>
      </c>
    </row>
    <row r="79" spans="1:5" ht="17" x14ac:dyDescent="0.2">
      <c r="A79" s="38" t="s">
        <v>78</v>
      </c>
      <c r="B79" s="38" t="s">
        <v>79</v>
      </c>
      <c r="C79" s="38" t="s">
        <v>80</v>
      </c>
    </row>
    <row r="80" spans="1:5" ht="17" x14ac:dyDescent="0.2">
      <c r="A80" s="38" t="s">
        <v>81</v>
      </c>
      <c r="B80" s="38" t="s">
        <v>82</v>
      </c>
      <c r="C80" s="38" t="s">
        <v>83</v>
      </c>
    </row>
    <row r="81" spans="1:3" ht="17" x14ac:dyDescent="0.2">
      <c r="A81" s="38" t="s">
        <v>84</v>
      </c>
      <c r="B81" s="38" t="s">
        <v>85</v>
      </c>
      <c r="C81" s="38" t="s">
        <v>86</v>
      </c>
    </row>
    <row r="82" spans="1:3" ht="17" x14ac:dyDescent="0.2">
      <c r="A82" s="38" t="s">
        <v>87</v>
      </c>
      <c r="B82" s="38" t="s">
        <v>88</v>
      </c>
      <c r="C82" s="38" t="s">
        <v>89</v>
      </c>
    </row>
    <row r="83" spans="1:3" ht="17" x14ac:dyDescent="0.2">
      <c r="A83" s="38" t="s">
        <v>90</v>
      </c>
      <c r="B83" s="38" t="s">
        <v>91</v>
      </c>
      <c r="C83" s="38" t="s">
        <v>92</v>
      </c>
    </row>
    <row r="84" spans="1:3" ht="17" x14ac:dyDescent="0.2">
      <c r="A84" s="38" t="s">
        <v>93</v>
      </c>
      <c r="B84" s="38" t="s">
        <v>94</v>
      </c>
      <c r="C84" s="38" t="s">
        <v>95</v>
      </c>
    </row>
    <row r="85" spans="1:3" ht="17" x14ac:dyDescent="0.2">
      <c r="A85" s="38" t="s">
        <v>96</v>
      </c>
      <c r="B85" s="38" t="s">
        <v>97</v>
      </c>
      <c r="C85" s="38" t="s">
        <v>98</v>
      </c>
    </row>
  </sheetData>
  <pageMargins left="0.7" right="0.7" top="0.75" bottom="0.75" header="0.3" footer="0.3"/>
  <pageSetup paperSize="8" scale="0" firstPageNumber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Ferdinand Lang</dc:creator>
  <cp:lastModifiedBy>Luka Matanic</cp:lastModifiedBy>
  <dcterms:created xsi:type="dcterms:W3CDTF">2025-10-24T15:54:01Z</dcterms:created>
  <dcterms:modified xsi:type="dcterms:W3CDTF">2025-12-15T14:21:35Z</dcterms:modified>
</cp:coreProperties>
</file>